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static\files\"/>
    </mc:Choice>
  </mc:AlternateContent>
  <xr:revisionPtr revIDLastSave="0" documentId="13_ncr:1_{6E520992-F5A5-4109-9854-586BAE609DEB}" xr6:coauthVersionLast="47" xr6:coauthVersionMax="47" xr10:uidLastSave="{00000000-0000-0000-0000-000000000000}"/>
  <bookViews>
    <workbookView xWindow="-110" yWindow="-110" windowWidth="25820" windowHeight="15500" xr2:uid="{56B41E3B-4B30-4BE1-84D1-B1F6199972AB}"/>
  </bookViews>
  <sheets>
    <sheet name="Halkbank Sanal Pos" sheetId="1" r:id="rId1"/>
  </sheets>
  <externalReferences>
    <externalReference r:id="rId2"/>
  </externalReferences>
  <definedNames>
    <definedName name="_xlnm._FilterDatabase" localSheetId="0" hidden="1">'Halkbank Sanal Pos'!$A$1:$AO$12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<sst xmlns="http://schemas.openxmlformats.org/spreadsheetml/2006/main" count="469" uniqueCount="158">
  <si>
    <t>Ek Bilgiler</t>
  </si>
  <si>
    <t>İşlem Tipi</t>
  </si>
  <si>
    <t>İşlem Durumu</t>
  </si>
  <si>
    <t>İşlem Numarası</t>
  </si>
  <si>
    <t>Sipariş Numarası</t>
  </si>
  <si>
    <t>İşlem Tarihi</t>
  </si>
  <si>
    <t>Kredi Kartı Numarası</t>
  </si>
  <si>
    <t>Kart Tipi</t>
  </si>
  <si>
    <t>İşlem Tutarı</t>
  </si>
  <si>
    <t>Para Birimi</t>
  </si>
  <si>
    <t>Taksit</t>
  </si>
  <si>
    <t>Puan</t>
  </si>
  <si>
    <t>Provizyon Numarası</t>
  </si>
  <si>
    <t>İşlem Güvenliği</t>
  </si>
  <si>
    <t>Adı-Soyadı</t>
  </si>
  <si>
    <t>İşlemi Yapan Kullanıcı</t>
  </si>
  <si>
    <t>Cevap Kodu</t>
  </si>
  <si>
    <t>Cevap Detayı</t>
  </si>
  <si>
    <t>Sistem Hata Detayı</t>
  </si>
  <si>
    <t>E Posta</t>
  </si>
  <si>
    <t>Kullanıcı Numarası</t>
  </si>
  <si>
    <t>Kartın Bankası</t>
  </si>
  <si>
    <t>Referans no</t>
  </si>
  <si>
    <t>Açıklama 1</t>
  </si>
  <si>
    <t>Aygıt Kategorisi</t>
  </si>
  <si>
    <t>İşyeri Kategori Kodu (MCC)</t>
  </si>
  <si>
    <t>Müşteri Telefon Numarası</t>
  </si>
  <si>
    <t>Müşteri IP adresi</t>
  </si>
  <si>
    <t>İşyeri IP adresi</t>
  </si>
  <si>
    <t>Ülke</t>
  </si>
  <si>
    <t>İl</t>
  </si>
  <si>
    <t>Orjin</t>
  </si>
  <si>
    <t>STAN</t>
  </si>
  <si>
    <t>Ödeme Yöntemi</t>
  </si>
  <si>
    <t>Banka</t>
  </si>
  <si>
    <t>SGK Komisyonu</t>
  </si>
  <si>
    <t>İşyeri Komisyonu</t>
  </si>
  <si>
    <t>İşlem İptal Zamanı</t>
  </si>
  <si>
    <t>pointType</t>
  </si>
  <si>
    <t/>
  </si>
  <si>
    <t>Satış</t>
  </si>
  <si>
    <t>MASTERCARD</t>
  </si>
  <si>
    <t xml:space="preserve">TL </t>
  </si>
  <si>
    <t>0</t>
  </si>
  <si>
    <t>Tam Doğrulama</t>
  </si>
  <si>
    <t>Sys</t>
  </si>
  <si>
    <t>KUVEYT TÜRK KATILIM BANKASI A.S.</t>
  </si>
  <si>
    <t>Smartphone</t>
  </si>
  <si>
    <t>7277</t>
  </si>
  <si>
    <t>Ödeme Sayfası</t>
  </si>
  <si>
    <t>T. GARANTI BANKASI A.S.</t>
  </si>
  <si>
    <t>VISA</t>
  </si>
  <si>
    <t>Başarısız</t>
  </si>
  <si>
    <t>26014UPPG05059237</t>
  </si>
  <si>
    <t>25870835630371191784</t>
  </si>
  <si>
    <t>2026-01-14 20:15:15.623</t>
  </si>
  <si>
    <t>4799 15** **** 8609</t>
  </si>
  <si>
    <t>AYŞEGÜL . GÜNDOĞDU</t>
  </si>
  <si>
    <t>51</t>
  </si>
  <si>
    <t>Limit Yetersiz.</t>
  </si>
  <si>
    <t>TÜRKIYE FINANS KATILIM BANKASI A.S.</t>
  </si>
  <si>
    <t>601420522441</t>
  </si>
  <si>
    <t>KiraPlanKodu: 61297.1.0</t>
  </si>
  <si>
    <t>176.42.78.117</t>
  </si>
  <si>
    <t>522441</t>
  </si>
  <si>
    <t>T. IS BANKASI A.S.</t>
  </si>
  <si>
    <t>YAPI VE KREDI BANKASI A.S.</t>
  </si>
  <si>
    <t>Personal computer</t>
  </si>
  <si>
    <t>DENIZBANK A.S.</t>
  </si>
  <si>
    <t>4741 51** **** 3010</t>
  </si>
  <si>
    <t>GÖKMEN  GÜNDÜZ</t>
  </si>
  <si>
    <t>KiraPlanKodu: 61986.1.0,61992.1.</t>
  </si>
  <si>
    <t>176.234.130.71</t>
  </si>
  <si>
    <t>26014Pl8F05015155</t>
  </si>
  <si>
    <t>47187004604156392379</t>
  </si>
  <si>
    <t>2026-01-14 15:37:58.482</t>
  </si>
  <si>
    <t>54</t>
  </si>
  <si>
    <t>Kartin son kullanma tarihi hatali.</t>
  </si>
  <si>
    <t>601415113430</t>
  </si>
  <si>
    <t>113430</t>
  </si>
  <si>
    <t>ZİRAAT BANKASI</t>
  </si>
  <si>
    <t>4025 91** **** 7139</t>
  </si>
  <si>
    <t>FİLİZ . DOĞMUŞ</t>
  </si>
  <si>
    <t>5.46.140.174</t>
  </si>
  <si>
    <t>KiraPlanKodu: 65664.1.0</t>
  </si>
  <si>
    <t>26014PQlG05058388</t>
  </si>
  <si>
    <t>32684762138281696148</t>
  </si>
  <si>
    <t>2026-01-14 15:16:37.569</t>
  </si>
  <si>
    <t>601415082121</t>
  </si>
  <si>
    <t>082121</t>
  </si>
  <si>
    <t>KUTSAL . MÜSLÜMAN</t>
  </si>
  <si>
    <t>KiraPlanKodu: 66468.1.0</t>
  </si>
  <si>
    <t>78.186.146.115</t>
  </si>
  <si>
    <t>26014ORkD05038611</t>
  </si>
  <si>
    <t>78176186245171697008</t>
  </si>
  <si>
    <t>2026-01-14 14:17:36.294</t>
  </si>
  <si>
    <t>5337 64** **** 1553</t>
  </si>
  <si>
    <t>93</t>
  </si>
  <si>
    <t>Kartınız e-ticaret işlemlerine kapalıdır. Bankanızı arayınız.</t>
  </si>
  <si>
    <t>601414992876</t>
  </si>
  <si>
    <t>992876</t>
  </si>
  <si>
    <t>26014OGeF05015376</t>
  </si>
  <si>
    <t>57421878025685897008</t>
  </si>
  <si>
    <t>2026-01-14 14:06:30.518</t>
  </si>
  <si>
    <t>601414975110</t>
  </si>
  <si>
    <t>975110</t>
  </si>
  <si>
    <t>5400 63** **** 2633</t>
  </si>
  <si>
    <t>TUBA . ÇAKIR</t>
  </si>
  <si>
    <t>KiraPlanKodu: 67192.1.0</t>
  </si>
  <si>
    <t>151.250.132.209</t>
  </si>
  <si>
    <t>KEZİBAN . BÜLBÜL</t>
  </si>
  <si>
    <t>KiraPlanKodu: 56388.1.0</t>
  </si>
  <si>
    <t>85.98.20.92</t>
  </si>
  <si>
    <t>4553 59** **** 9451</t>
  </si>
  <si>
    <t>26014NfmJ05060527</t>
  </si>
  <si>
    <t>24510356143317667625</t>
  </si>
  <si>
    <t>2026-01-14 13:31:38.846</t>
  </si>
  <si>
    <t>601413921177</t>
  </si>
  <si>
    <t>921177</t>
  </si>
  <si>
    <t>4090 70** **** 6226</t>
  </si>
  <si>
    <t>ÖZCAN . DUMRAL</t>
  </si>
  <si>
    <t>46.104.53.154</t>
  </si>
  <si>
    <t>KiraPlanKodu: 53489.1.0</t>
  </si>
  <si>
    <t>26014NNpE05057358</t>
  </si>
  <si>
    <t>08533425333212164949</t>
  </si>
  <si>
    <t>2026-01-14 13:13:41.401</t>
  </si>
  <si>
    <t>601413893973</t>
  </si>
  <si>
    <t>893973</t>
  </si>
  <si>
    <t>26014NNeI05033575</t>
  </si>
  <si>
    <t>82761784153552797644</t>
  </si>
  <si>
    <t>2026-01-14 13:13:30.749</t>
  </si>
  <si>
    <t>601413893698</t>
  </si>
  <si>
    <t>893698</t>
  </si>
  <si>
    <t>4543 60** **** 0503</t>
  </si>
  <si>
    <t>SİBEL TURAN . ERYILMAZ</t>
  </si>
  <si>
    <t>KiraPlanKodu: 58995.1.0</t>
  </si>
  <si>
    <t>95.7.5.215</t>
  </si>
  <si>
    <t>26014NKKG05026945</t>
  </si>
  <si>
    <t>87405216311235773255</t>
  </si>
  <si>
    <t>2026-01-14 13:10:10.596</t>
  </si>
  <si>
    <t>601413888627</t>
  </si>
  <si>
    <t>888627</t>
  </si>
  <si>
    <t>26014NH3I05018274</t>
  </si>
  <si>
    <t>64825735386781797644</t>
  </si>
  <si>
    <t>2026-01-14 13:07:53.850</t>
  </si>
  <si>
    <t>13</t>
  </si>
  <si>
    <t>Gecersiz tutar.</t>
  </si>
  <si>
    <t>601413885083</t>
  </si>
  <si>
    <t>885083</t>
  </si>
  <si>
    <t>5116 60** **** 2497</t>
  </si>
  <si>
    <t>SEDAT  ERKAN</t>
  </si>
  <si>
    <t>KiraPlanKodu: 67086.1.0</t>
  </si>
  <si>
    <t>176.89.81.164</t>
  </si>
  <si>
    <t>26014IWWJ05016145</t>
  </si>
  <si>
    <t>77422717356440297479</t>
  </si>
  <si>
    <t>2026-01-14 08:22:22.896</t>
  </si>
  <si>
    <t>601408541671</t>
  </si>
  <si>
    <t>541671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</si>
</sst>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62"/>
    </font>
    <font>
      <sz val="11"/>
      <color indexed="8"/>
      <name val="Aptos Narrow"/>
      <family val="2"/>
      <scheme val="minor"/>
    </font>
    <font>
      <sz val="11"/>
      <name val="Aptos Narrow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1" fillId="0" borderId="0" xfId="2"/>
    <xf numFmtId="43" fontId="1" fillId="0" borderId="0" xfId="1" applyFont="1"/>
    <xf numFmtId="0" fontId="3" fillId="0" borderId="0" xfId="2" applyFont="1"/>
  </cellXfs>
  <cellStyles count="3">
    <cellStyle name="Normal" xfId="0" builtinId="0"/>
    <cellStyle name="Normal 3" xfId="2" xr:uid="{2679A17C-A706-45D0-BE11-36E0ACB37019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meyye.ozturk\Downloads\Sanal%20Pos%20Entegrasyonu%20&#304;zleme%20Ekran&#305;_447_27470_3f64ee53-9cb8-45dd-a569-4d5034e8e751.xls" TargetMode="External"/><Relationship Id="rId1" Type="http://schemas.openxmlformats.org/officeDocument/2006/relationships/externalLinkPath" Target="/Users/sumeyye.ozturk/Downloads/Sanal%20Pos%20Entegrasyonu%20&#304;zleme%20Ekran&#305;_447_27470_3f64ee53-9cb8-45dd-a569-4d5034e8e7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urtarılan_Sayfa1"/>
    </sheetNames>
    <sheetDataSet>
      <sheetData sheetId="0">
        <row r="1">
          <cell r="J1" t="str">
            <v>Harici İşlem Id</v>
          </cell>
        </row>
        <row r="2">
          <cell r="J2" t="str">
            <v>55440720075436695933</v>
          </cell>
        </row>
        <row r="3">
          <cell r="J3" t="str">
            <v>50578543420331668153</v>
          </cell>
        </row>
        <row r="4">
          <cell r="J4" t="str">
            <v>68802643734205664883</v>
          </cell>
        </row>
        <row r="5">
          <cell r="J5" t="str">
            <v>47823164101461664886</v>
          </cell>
        </row>
        <row r="6">
          <cell r="J6" t="str">
            <v>52105888374774664885</v>
          </cell>
        </row>
        <row r="7">
          <cell r="J7" t="str">
            <v>64034303212578664884</v>
          </cell>
        </row>
        <row r="8">
          <cell r="J8" t="str">
            <v>61065811762177479761</v>
          </cell>
        </row>
        <row r="9">
          <cell r="J9" t="str">
            <v>22681274838631679760</v>
          </cell>
        </row>
        <row r="10">
          <cell r="J10" t="str">
            <v>55028815041383568412</v>
          </cell>
        </row>
        <row r="11">
          <cell r="J11" t="str">
            <v>02428552166802897774</v>
          </cell>
        </row>
        <row r="12">
          <cell r="J12" t="str">
            <v>04705602481535492963</v>
          </cell>
        </row>
        <row r="13">
          <cell r="J13" t="str">
            <v>65642455704718892379</v>
          </cell>
        </row>
        <row r="14">
          <cell r="J14" t="str">
            <v>65642455704718892379</v>
          </cell>
        </row>
        <row r="15">
          <cell r="J15" t="str">
            <v>65642455704718892379</v>
          </cell>
        </row>
        <row r="16">
          <cell r="J16" t="str">
            <v>65642455704718892379</v>
          </cell>
        </row>
        <row r="17">
          <cell r="J17" t="str">
            <v>67565771332452779770</v>
          </cell>
        </row>
        <row r="18">
          <cell r="J18" t="str">
            <v>67565771332452779770</v>
          </cell>
        </row>
        <row r="19">
          <cell r="J19" t="str">
            <v>14746318427347896150</v>
          </cell>
        </row>
        <row r="20">
          <cell r="J20" t="str">
            <v>60630052620784696148</v>
          </cell>
        </row>
        <row r="21">
          <cell r="J21" t="str">
            <v>11475018741217097648</v>
          </cell>
        </row>
        <row r="22">
          <cell r="J22" t="str">
            <v>78403435701430698279</v>
          </cell>
        </row>
        <row r="23">
          <cell r="J23" t="str">
            <v>43182552063536164959</v>
          </cell>
        </row>
        <row r="24">
          <cell r="J24" t="str">
            <v>43182552063536164959</v>
          </cell>
        </row>
        <row r="25">
          <cell r="J25" t="str">
            <v>43182552063536164959</v>
          </cell>
        </row>
        <row r="26">
          <cell r="J26" t="str">
            <v>43182552063536164959</v>
          </cell>
        </row>
        <row r="27">
          <cell r="J27" t="str">
            <v>43182552063536164959</v>
          </cell>
        </row>
        <row r="28">
          <cell r="J28" t="str">
            <v>02321620647185497008</v>
          </cell>
        </row>
        <row r="29">
          <cell r="J29" t="str">
            <v>15863515057218197008</v>
          </cell>
        </row>
        <row r="30">
          <cell r="J30" t="str">
            <v>13015640037234591615</v>
          </cell>
        </row>
        <row r="31">
          <cell r="J31" t="str">
            <v>88636210077410767625</v>
          </cell>
        </row>
        <row r="32">
          <cell r="J32" t="str">
            <v>68658055463352667625</v>
          </cell>
        </row>
        <row r="33">
          <cell r="J33" t="str">
            <v>33644080418576467237</v>
          </cell>
        </row>
        <row r="34">
          <cell r="J34" t="str">
            <v>53464803017335260878</v>
          </cell>
        </row>
        <row r="35">
          <cell r="J35" t="str">
            <v>70425755502167496007</v>
          </cell>
        </row>
        <row r="36">
          <cell r="J36" t="str">
            <v>70425755502167496007</v>
          </cell>
        </row>
        <row r="37">
          <cell r="J37" t="str">
            <v>67080321038155862459</v>
          </cell>
        </row>
        <row r="38">
          <cell r="J38" t="str">
            <v>21037537808476160353</v>
          </cell>
        </row>
        <row r="39">
          <cell r="J39" t="str">
            <v>30754785882113864951</v>
          </cell>
        </row>
        <row r="40">
          <cell r="J40" t="str">
            <v>01376637733531160354</v>
          </cell>
        </row>
        <row r="41">
          <cell r="J41" t="str">
            <v>33571745461078260355</v>
          </cell>
        </row>
        <row r="42">
          <cell r="J42" t="str">
            <v>20102444055180464949</v>
          </cell>
        </row>
        <row r="43">
          <cell r="J43" t="str">
            <v>24431804884626191921</v>
          </cell>
        </row>
        <row r="44">
          <cell r="J44" t="str">
            <v>88873048573372773255</v>
          </cell>
        </row>
        <row r="45">
          <cell r="J45" t="str">
            <v>47273353034085881689</v>
          </cell>
        </row>
        <row r="46">
          <cell r="J46" t="str">
            <v>70265777202463575244</v>
          </cell>
        </row>
        <row r="47">
          <cell r="J47" t="str">
            <v>81277436226123756302</v>
          </cell>
        </row>
        <row r="48">
          <cell r="J48" t="str">
            <v>58168035002722468840</v>
          </cell>
        </row>
        <row r="49">
          <cell r="J49" t="str">
            <v>55322624278813768838</v>
          </cell>
        </row>
        <row r="50">
          <cell r="J50" t="str">
            <v>26502040754772059556</v>
          </cell>
        </row>
        <row r="51">
          <cell r="J51" t="str">
            <v>77203622388274059037</v>
          </cell>
        </row>
        <row r="52">
          <cell r="J52" t="str">
            <v>46628563882301781166</v>
          </cell>
        </row>
        <row r="53">
          <cell r="J53" t="str">
            <v>15553128784114892972</v>
          </cell>
        </row>
        <row r="54">
          <cell r="J54" t="str">
            <v>68354871004122091674</v>
          </cell>
        </row>
        <row r="55">
          <cell r="J55" t="str">
            <v>00466446821874896848</v>
          </cell>
        </row>
        <row r="56">
          <cell r="J56" t="str">
            <v>17160715506156596848</v>
          </cell>
        </row>
        <row r="57">
          <cell r="J57" t="str">
            <v>65158136812857393678</v>
          </cell>
        </row>
        <row r="58">
          <cell r="J58" t="str">
            <v>17385110572282593679</v>
          </cell>
        </row>
        <row r="59">
          <cell r="J59" t="str">
            <v>85872100318774293116</v>
          </cell>
        </row>
        <row r="60">
          <cell r="J60" t="str">
            <v>01320586667678366765</v>
          </cell>
        </row>
        <row r="61">
          <cell r="J61" t="str">
            <v>41703582553840766959</v>
          </cell>
        </row>
        <row r="62">
          <cell r="J62" t="str">
            <v>11822241342280866974</v>
          </cell>
        </row>
        <row r="63">
          <cell r="J63" t="str">
            <v>70722224844538294119</v>
          </cell>
        </row>
        <row r="64">
          <cell r="J64" t="str">
            <v>11318567884114367054</v>
          </cell>
        </row>
        <row r="65">
          <cell r="J65" t="str">
            <v>47814631421114465661</v>
          </cell>
        </row>
        <row r="66">
          <cell r="J66" t="str">
            <v>47814631421114465661</v>
          </cell>
        </row>
        <row r="67">
          <cell r="J67" t="str">
            <v>47814631421114465661</v>
          </cell>
        </row>
        <row r="68">
          <cell r="J68" t="str">
            <v>50286255713750272304</v>
          </cell>
        </row>
        <row r="69">
          <cell r="J69" t="str">
            <v>54067344625584269341</v>
          </cell>
        </row>
        <row r="70">
          <cell r="J70" t="str">
            <v>38412450411446569342</v>
          </cell>
        </row>
        <row r="71">
          <cell r="J71" t="str">
            <v>51568111436762869343</v>
          </cell>
        </row>
        <row r="72">
          <cell r="J72" t="str">
            <v>85076455755837295791</v>
          </cell>
        </row>
        <row r="73">
          <cell r="J73" t="str">
            <v>16446544351508696582</v>
          </cell>
        </row>
        <row r="74">
          <cell r="J74" t="str">
            <v>17124878524027659228</v>
          </cell>
        </row>
        <row r="75">
          <cell r="J75" t="str">
            <v>84385351813206659229</v>
          </cell>
        </row>
        <row r="76">
          <cell r="J76" t="str">
            <v>38660178341225868463</v>
          </cell>
        </row>
        <row r="77">
          <cell r="J77" t="str">
            <v>72256866262727468463</v>
          </cell>
        </row>
        <row r="78">
          <cell r="J78" t="str">
            <v>38557271172808361287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2474-B893-4669-872A-B021F31C82AF}">
  <sheetPr filterMode="1"/>
  <dimension ref="A1:AO12"/>
  <sheetViews>
    <sheetView tabSelected="1" workbookViewId="0">
      <selection activeCell="F18" sqref="F18"/>
    </sheetView>
  </sheetViews>
  <sheetFormatPr defaultColWidth="8.81640625" defaultRowHeight="14.5" x14ac:dyDescent="0.35"/>
  <cols>
    <col min="1" max="1" width="1" style="1" customWidth="1"/>
    <col min="2" max="2" width="5.54296875" style="1" customWidth="1"/>
    <col min="3" max="3" width="9.26953125" style="1" customWidth="1"/>
    <col min="4" max="5" width="22" style="1" customWidth="1"/>
    <col min="6" max="6" width="24.26953125" style="1" customWidth="1"/>
    <col min="7" max="7" width="24.54296875" style="1" customWidth="1"/>
    <col min="8" max="8" width="20" style="1" customWidth="1"/>
    <col min="9" max="9" width="13.7265625" style="1" customWidth="1"/>
    <col min="10" max="10" width="11" style="2" customWidth="1"/>
    <col min="11" max="11" width="3.7265625" style="1" customWidth="1"/>
    <col min="12" max="12" width="1" style="1" customWidth="1"/>
    <col min="13" max="13" width="2.26953125" style="1" customWidth="1"/>
    <col min="14" max="14" width="8" style="1" customWidth="1"/>
    <col min="15" max="15" width="15.7265625" style="1" customWidth="1"/>
    <col min="16" max="16" width="48.81640625" style="1" customWidth="1"/>
    <col min="17" max="17" width="4.26953125" style="1" customWidth="1"/>
    <col min="18" max="18" width="3.26953125" style="1" customWidth="1"/>
    <col min="19" max="19" width="1" style="1" customWidth="1"/>
    <col min="20" max="20" width="32" style="1" customWidth="1"/>
    <col min="21" max="22" width="1" style="1" customWidth="1"/>
    <col min="23" max="23" width="37" style="1" customWidth="1"/>
    <col min="24" max="24" width="15" style="1" customWidth="1"/>
    <col min="25" max="25" width="1" style="1" customWidth="1"/>
    <col min="26" max="26" width="18.26953125" style="1" customWidth="1"/>
    <col min="27" max="27" width="5.7265625" style="1" customWidth="1"/>
    <col min="28" max="28" width="32.453125" style="1" customWidth="1"/>
    <col min="29" max="29" width="16.7265625" style="1" customWidth="1"/>
    <col min="30" max="33" width="1" style="1" customWidth="1"/>
    <col min="34" max="34" width="14.81640625" style="1" customWidth="1"/>
    <col min="35" max="35" width="8" style="1" customWidth="1"/>
    <col min="36" max="36" width="1" style="1" customWidth="1"/>
    <col min="37" max="37" width="37" style="1" customWidth="1"/>
    <col min="38" max="41" width="1" style="1" customWidth="1"/>
    <col min="42" max="16384" width="8.81640625" style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19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s="3" customFormat="1" hidden="1" x14ac:dyDescent="0.35">
      <c r="A2" s="3" t="s">
        <v>39</v>
      </c>
      <c r="B2" s="3" t="s">
        <v>40</v>
      </c>
      <c r="C2" s="3" t="s">
        <v>52</v>
      </c>
      <c r="D2" s="3" t="s">
        <v>53</v>
      </c>
      <c r="E2" s="3" t="e">
        <f>+VLOOKUP(F2,[1]Kurtarılan_Sayfa1!$J:$J,1,0)</f>
        <v>#N/A</v>
      </c>
      <c r="F2" s="3" t="s">
        <v>54</v>
      </c>
      <c r="G2" s="3" t="s">
        <v>55</v>
      </c>
      <c r="H2" s="3" t="s">
        <v>56</v>
      </c>
      <c r="I2" s="3" t="s">
        <v>51</v>
      </c>
      <c r="J2" s="3">
        <v>36170.65</v>
      </c>
      <c r="K2" s="3" t="s">
        <v>42</v>
      </c>
      <c r="L2" s="3" t="s">
        <v>39</v>
      </c>
      <c r="M2" s="3" t="s">
        <v>43</v>
      </c>
      <c r="N2" s="3" t="s">
        <v>39</v>
      </c>
      <c r="O2" s="3" t="s">
        <v>44</v>
      </c>
      <c r="P2" s="3" t="s">
        <v>57</v>
      </c>
      <c r="Q2" s="3" t="s">
        <v>45</v>
      </c>
      <c r="R2" s="3" t="s">
        <v>58</v>
      </c>
      <c r="S2" s="3" t="s">
        <v>39</v>
      </c>
      <c r="T2" s="3" t="s">
        <v>59</v>
      </c>
      <c r="U2" s="3" t="s">
        <v>39</v>
      </c>
      <c r="V2" s="3" t="s">
        <v>39</v>
      </c>
      <c r="W2" s="3" t="s">
        <v>60</v>
      </c>
      <c r="X2" s="3" t="s">
        <v>61</v>
      </c>
      <c r="Y2" s="3" t="s">
        <v>39</v>
      </c>
      <c r="Z2" s="3" t="s">
        <v>47</v>
      </c>
      <c r="AA2" s="3" t="s">
        <v>48</v>
      </c>
      <c r="AB2" s="3" t="s">
        <v>62</v>
      </c>
      <c r="AC2" s="3" t="s">
        <v>63</v>
      </c>
      <c r="AD2" s="3" t="s">
        <v>39</v>
      </c>
      <c r="AE2" s="3" t="s">
        <v>39</v>
      </c>
      <c r="AF2" s="3" t="s">
        <v>39</v>
      </c>
      <c r="AG2" s="3" t="s">
        <v>39</v>
      </c>
      <c r="AH2" s="3" t="s">
        <v>49</v>
      </c>
      <c r="AI2" s="3" t="s">
        <v>64</v>
      </c>
      <c r="AJ2" s="3" t="s">
        <v>39</v>
      </c>
      <c r="AK2" s="3" t="s">
        <v>60</v>
      </c>
      <c r="AL2" s="3" t="s">
        <v>39</v>
      </c>
      <c r="AM2" s="3" t="s">
        <v>39</v>
      </c>
      <c r="AN2" s="3" t="s">
        <v>39</v>
      </c>
      <c r="AO2" s="3" t="s">
        <v>39</v>
      </c>
    </row>
    <row r="3" spans="1:41" s="3" customFormat="1" hidden="1" x14ac:dyDescent="0.35">
      <c r="A3" s="3" t="s">
        <v>39</v>
      </c>
      <c r="B3" s="3" t="s">
        <v>40</v>
      </c>
      <c r="C3" s="3" t="s">
        <v>52</v>
      </c>
      <c r="D3" s="3" t="s">
        <v>73</v>
      </c>
      <c r="E3" s="3" t="e">
        <f>+VLOOKUP(F3,[1]Kurtarılan_Sayfa1!$J:$J,1,0)</f>
        <v>#N/A</v>
      </c>
      <c r="F3" s="3" t="s">
        <v>74</v>
      </c>
      <c r="G3" s="3" t="s">
        <v>75</v>
      </c>
      <c r="H3" s="3" t="s">
        <v>69</v>
      </c>
      <c r="I3" s="3" t="s">
        <v>51</v>
      </c>
      <c r="J3" s="3">
        <v>93143.55</v>
      </c>
      <c r="K3" s="3" t="s">
        <v>42</v>
      </c>
      <c r="L3" s="3" t="s">
        <v>39</v>
      </c>
      <c r="M3" s="3" t="s">
        <v>43</v>
      </c>
      <c r="N3" s="3" t="s">
        <v>39</v>
      </c>
      <c r="O3" s="3" t="s">
        <v>44</v>
      </c>
      <c r="P3" s="3" t="s">
        <v>70</v>
      </c>
      <c r="Q3" s="3" t="s">
        <v>45</v>
      </c>
      <c r="R3" s="3" t="s">
        <v>76</v>
      </c>
      <c r="S3" s="3" t="s">
        <v>39</v>
      </c>
      <c r="T3" s="3" t="s">
        <v>77</v>
      </c>
      <c r="U3" s="3" t="s">
        <v>39</v>
      </c>
      <c r="V3" s="3" t="s">
        <v>39</v>
      </c>
      <c r="W3" s="3" t="s">
        <v>50</v>
      </c>
      <c r="X3" s="3" t="s">
        <v>78</v>
      </c>
      <c r="Y3" s="3" t="s">
        <v>39</v>
      </c>
      <c r="Z3" s="3" t="s">
        <v>67</v>
      </c>
      <c r="AA3" s="3" t="s">
        <v>48</v>
      </c>
      <c r="AB3" s="3" t="s">
        <v>71</v>
      </c>
      <c r="AC3" s="3" t="s">
        <v>72</v>
      </c>
      <c r="AD3" s="3" t="s">
        <v>39</v>
      </c>
      <c r="AE3" s="3" t="s">
        <v>39</v>
      </c>
      <c r="AF3" s="3" t="s">
        <v>39</v>
      </c>
      <c r="AG3" s="3" t="s">
        <v>39</v>
      </c>
      <c r="AH3" s="3" t="s">
        <v>49</v>
      </c>
      <c r="AI3" s="3" t="s">
        <v>79</v>
      </c>
      <c r="AJ3" s="3" t="s">
        <v>39</v>
      </c>
      <c r="AK3" s="3" t="s">
        <v>50</v>
      </c>
      <c r="AL3" s="3" t="s">
        <v>39</v>
      </c>
      <c r="AM3" s="3" t="s">
        <v>39</v>
      </c>
      <c r="AN3" s="3" t="s">
        <v>39</v>
      </c>
      <c r="AO3" s="3" t="s">
        <v>39</v>
      </c>
    </row>
    <row r="4" spans="1:41" s="3" customFormat="1" hidden="1" x14ac:dyDescent="0.35">
      <c r="A4" s="3" t="s">
        <v>39</v>
      </c>
      <c r="B4" s="3" t="s">
        <v>40</v>
      </c>
      <c r="C4" s="3" t="s">
        <v>52</v>
      </c>
      <c r="D4" s="3" t="s">
        <v>85</v>
      </c>
      <c r="E4" s="3" t="e">
        <f>+VLOOKUP(F4,[1]Kurtarılan_Sayfa1!$J:$J,1,0)</f>
        <v>#N/A</v>
      </c>
      <c r="F4" s="3" t="s">
        <v>86</v>
      </c>
      <c r="G4" s="3" t="s">
        <v>87</v>
      </c>
      <c r="H4" s="3" t="s">
        <v>81</v>
      </c>
      <c r="I4" s="3" t="s">
        <v>51</v>
      </c>
      <c r="J4" s="3">
        <v>10399.06</v>
      </c>
      <c r="K4" s="3" t="s">
        <v>42</v>
      </c>
      <c r="L4" s="3" t="s">
        <v>39</v>
      </c>
      <c r="M4" s="3" t="s">
        <v>43</v>
      </c>
      <c r="N4" s="3" t="s">
        <v>39</v>
      </c>
      <c r="O4" s="3" t="s">
        <v>44</v>
      </c>
      <c r="P4" s="3" t="s">
        <v>82</v>
      </c>
      <c r="Q4" s="3" t="s">
        <v>45</v>
      </c>
      <c r="R4" s="3" t="s">
        <v>76</v>
      </c>
      <c r="S4" s="3" t="s">
        <v>39</v>
      </c>
      <c r="T4" s="3" t="s">
        <v>77</v>
      </c>
      <c r="U4" s="3" t="s">
        <v>39</v>
      </c>
      <c r="V4" s="3" t="s">
        <v>39</v>
      </c>
      <c r="W4" s="3" t="s">
        <v>46</v>
      </c>
      <c r="X4" s="3" t="s">
        <v>88</v>
      </c>
      <c r="Y4" s="3" t="s">
        <v>39</v>
      </c>
      <c r="Z4" s="3" t="s">
        <v>47</v>
      </c>
      <c r="AA4" s="3" t="s">
        <v>48</v>
      </c>
      <c r="AB4" s="3" t="s">
        <v>84</v>
      </c>
      <c r="AC4" s="3" t="s">
        <v>83</v>
      </c>
      <c r="AD4" s="3" t="s">
        <v>39</v>
      </c>
      <c r="AE4" s="3" t="s">
        <v>39</v>
      </c>
      <c r="AF4" s="3" t="s">
        <v>39</v>
      </c>
      <c r="AG4" s="3" t="s">
        <v>39</v>
      </c>
      <c r="AH4" s="3" t="s">
        <v>49</v>
      </c>
      <c r="AI4" s="3" t="s">
        <v>89</v>
      </c>
      <c r="AJ4" s="3" t="s">
        <v>39</v>
      </c>
      <c r="AK4" s="3" t="s">
        <v>46</v>
      </c>
      <c r="AL4" s="3" t="s">
        <v>39</v>
      </c>
      <c r="AM4" s="3" t="s">
        <v>39</v>
      </c>
      <c r="AN4" s="3" t="s">
        <v>39</v>
      </c>
      <c r="AO4" s="3" t="s">
        <v>39</v>
      </c>
    </row>
    <row r="5" spans="1:41" s="3" customFormat="1" hidden="1" x14ac:dyDescent="0.35">
      <c r="A5" s="3" t="s">
        <v>39</v>
      </c>
      <c r="B5" s="3" t="s">
        <v>40</v>
      </c>
      <c r="C5" s="3" t="s">
        <v>52</v>
      </c>
      <c r="D5" s="3" t="s">
        <v>93</v>
      </c>
      <c r="E5" s="3" t="e">
        <f>+VLOOKUP(F5,[1]Kurtarılan_Sayfa1!$J:$J,1,0)</f>
        <v>#N/A</v>
      </c>
      <c r="F5" s="3" t="s">
        <v>94</v>
      </c>
      <c r="G5" s="3" t="s">
        <v>95</v>
      </c>
      <c r="H5" s="3" t="s">
        <v>96</v>
      </c>
      <c r="I5" s="3" t="s">
        <v>41</v>
      </c>
      <c r="J5" s="3">
        <v>5173.8999999999996</v>
      </c>
      <c r="K5" s="3" t="s">
        <v>42</v>
      </c>
      <c r="L5" s="3" t="s">
        <v>39</v>
      </c>
      <c r="M5" s="3" t="s">
        <v>43</v>
      </c>
      <c r="N5" s="3" t="s">
        <v>39</v>
      </c>
      <c r="O5" s="3" t="s">
        <v>44</v>
      </c>
      <c r="P5" s="3" t="s">
        <v>90</v>
      </c>
      <c r="Q5" s="3" t="s">
        <v>45</v>
      </c>
      <c r="R5" s="3" t="s">
        <v>97</v>
      </c>
      <c r="S5" s="3" t="s">
        <v>39</v>
      </c>
      <c r="T5" s="3" t="s">
        <v>98</v>
      </c>
      <c r="U5" s="3" t="s">
        <v>39</v>
      </c>
      <c r="V5" s="3" t="s">
        <v>39</v>
      </c>
      <c r="W5" s="3" t="s">
        <v>80</v>
      </c>
      <c r="X5" s="3" t="s">
        <v>99</v>
      </c>
      <c r="Y5" s="3" t="s">
        <v>39</v>
      </c>
      <c r="Z5" s="3" t="s">
        <v>47</v>
      </c>
      <c r="AA5" s="3" t="s">
        <v>48</v>
      </c>
      <c r="AB5" s="3" t="s">
        <v>91</v>
      </c>
      <c r="AC5" s="3" t="s">
        <v>92</v>
      </c>
      <c r="AD5" s="3" t="s">
        <v>39</v>
      </c>
      <c r="AE5" s="3" t="s">
        <v>39</v>
      </c>
      <c r="AF5" s="3" t="s">
        <v>39</v>
      </c>
      <c r="AG5" s="3" t="s">
        <v>39</v>
      </c>
      <c r="AH5" s="3" t="s">
        <v>49</v>
      </c>
      <c r="AI5" s="3" t="s">
        <v>100</v>
      </c>
      <c r="AJ5" s="3" t="s">
        <v>39</v>
      </c>
      <c r="AK5" s="3" t="s">
        <v>80</v>
      </c>
      <c r="AL5" s="3" t="s">
        <v>39</v>
      </c>
      <c r="AM5" s="3" t="s">
        <v>39</v>
      </c>
      <c r="AN5" s="3" t="s">
        <v>39</v>
      </c>
      <c r="AO5" s="3" t="s">
        <v>39</v>
      </c>
    </row>
    <row r="6" spans="1:41" s="3" customFormat="1" hidden="1" x14ac:dyDescent="0.35">
      <c r="A6" s="3" t="s">
        <v>39</v>
      </c>
      <c r="B6" s="3" t="s">
        <v>40</v>
      </c>
      <c r="C6" s="3" t="s">
        <v>52</v>
      </c>
      <c r="D6" s="3" t="s">
        <v>101</v>
      </c>
      <c r="E6" s="3" t="e">
        <f>+VLOOKUP(F6,[1]Kurtarılan_Sayfa1!$J:$J,1,0)</f>
        <v>#N/A</v>
      </c>
      <c r="F6" s="3" t="s">
        <v>102</v>
      </c>
      <c r="G6" s="3" t="s">
        <v>103</v>
      </c>
      <c r="H6" s="3" t="s">
        <v>96</v>
      </c>
      <c r="I6" s="3" t="s">
        <v>41</v>
      </c>
      <c r="J6" s="3">
        <v>5173.8999999999996</v>
      </c>
      <c r="K6" s="3" t="s">
        <v>42</v>
      </c>
      <c r="L6" s="3" t="s">
        <v>39</v>
      </c>
      <c r="M6" s="3" t="s">
        <v>43</v>
      </c>
      <c r="N6" s="3" t="s">
        <v>39</v>
      </c>
      <c r="O6" s="3" t="s">
        <v>44</v>
      </c>
      <c r="P6" s="3" t="s">
        <v>90</v>
      </c>
      <c r="Q6" s="3" t="s">
        <v>45</v>
      </c>
      <c r="R6" s="3" t="s">
        <v>97</v>
      </c>
      <c r="S6" s="3" t="s">
        <v>39</v>
      </c>
      <c r="T6" s="3" t="s">
        <v>98</v>
      </c>
      <c r="U6" s="3" t="s">
        <v>39</v>
      </c>
      <c r="V6" s="3" t="s">
        <v>39</v>
      </c>
      <c r="W6" s="3" t="s">
        <v>80</v>
      </c>
      <c r="X6" s="3" t="s">
        <v>104</v>
      </c>
      <c r="Y6" s="3" t="s">
        <v>39</v>
      </c>
      <c r="Z6" s="3" t="s">
        <v>47</v>
      </c>
      <c r="AA6" s="3" t="s">
        <v>48</v>
      </c>
      <c r="AB6" s="3" t="s">
        <v>91</v>
      </c>
      <c r="AC6" s="3" t="s">
        <v>92</v>
      </c>
      <c r="AD6" s="3" t="s">
        <v>39</v>
      </c>
      <c r="AE6" s="3" t="s">
        <v>39</v>
      </c>
      <c r="AF6" s="3" t="s">
        <v>39</v>
      </c>
      <c r="AG6" s="3" t="s">
        <v>39</v>
      </c>
      <c r="AH6" s="3" t="s">
        <v>49</v>
      </c>
      <c r="AI6" s="3" t="s">
        <v>105</v>
      </c>
      <c r="AJ6" s="3" t="s">
        <v>39</v>
      </c>
      <c r="AK6" s="3" t="s">
        <v>80</v>
      </c>
      <c r="AL6" s="3" t="s">
        <v>39</v>
      </c>
      <c r="AM6" s="3" t="s">
        <v>39</v>
      </c>
      <c r="AN6" s="3" t="s">
        <v>39</v>
      </c>
      <c r="AO6" s="3" t="s">
        <v>39</v>
      </c>
    </row>
    <row r="7" spans="1:41" s="3" customFormat="1" hidden="1" x14ac:dyDescent="0.35">
      <c r="A7" s="3" t="s">
        <v>39</v>
      </c>
      <c r="B7" s="3" t="s">
        <v>40</v>
      </c>
      <c r="C7" s="3" t="s">
        <v>52</v>
      </c>
      <c r="D7" s="3" t="s">
        <v>114</v>
      </c>
      <c r="E7" s="3" t="e">
        <f>+VLOOKUP(F7,[1]Kurtarılan_Sayfa1!$J:$J,1,0)</f>
        <v>#N/A</v>
      </c>
      <c r="F7" s="3" t="s">
        <v>115</v>
      </c>
      <c r="G7" s="3" t="s">
        <v>116</v>
      </c>
      <c r="H7" s="3" t="s">
        <v>113</v>
      </c>
      <c r="I7" s="3" t="s">
        <v>51</v>
      </c>
      <c r="J7" s="3">
        <v>26928.78</v>
      </c>
      <c r="K7" s="3" t="s">
        <v>42</v>
      </c>
      <c r="L7" s="3" t="s">
        <v>39</v>
      </c>
      <c r="M7" s="3" t="s">
        <v>43</v>
      </c>
      <c r="N7" s="3" t="s">
        <v>39</v>
      </c>
      <c r="O7" s="3" t="s">
        <v>44</v>
      </c>
      <c r="P7" s="3" t="s">
        <v>110</v>
      </c>
      <c r="Q7" s="3" t="s">
        <v>45</v>
      </c>
      <c r="R7" s="3" t="s">
        <v>58</v>
      </c>
      <c r="S7" s="3" t="s">
        <v>39</v>
      </c>
      <c r="T7" s="3" t="s">
        <v>59</v>
      </c>
      <c r="U7" s="3" t="s">
        <v>39</v>
      </c>
      <c r="V7" s="3" t="s">
        <v>39</v>
      </c>
      <c r="W7" s="3" t="s">
        <v>66</v>
      </c>
      <c r="X7" s="3" t="s">
        <v>117</v>
      </c>
      <c r="Y7" s="3" t="s">
        <v>39</v>
      </c>
      <c r="Z7" s="3" t="s">
        <v>47</v>
      </c>
      <c r="AA7" s="3" t="s">
        <v>48</v>
      </c>
      <c r="AB7" s="3" t="s">
        <v>111</v>
      </c>
      <c r="AC7" s="3" t="s">
        <v>112</v>
      </c>
      <c r="AD7" s="3" t="s">
        <v>39</v>
      </c>
      <c r="AE7" s="3" t="s">
        <v>39</v>
      </c>
      <c r="AF7" s="3" t="s">
        <v>39</v>
      </c>
      <c r="AG7" s="3" t="s">
        <v>39</v>
      </c>
      <c r="AH7" s="3" t="s">
        <v>49</v>
      </c>
      <c r="AI7" s="3" t="s">
        <v>118</v>
      </c>
      <c r="AJ7" s="3" t="s">
        <v>39</v>
      </c>
      <c r="AK7" s="3" t="s">
        <v>66</v>
      </c>
      <c r="AL7" s="3" t="s">
        <v>39</v>
      </c>
      <c r="AM7" s="3" t="s">
        <v>39</v>
      </c>
      <c r="AN7" s="3" t="s">
        <v>39</v>
      </c>
      <c r="AO7" s="3" t="s">
        <v>39</v>
      </c>
    </row>
    <row r="8" spans="1:41" s="3" customFormat="1" hidden="1" x14ac:dyDescent="0.35">
      <c r="A8" s="3" t="s">
        <v>39</v>
      </c>
      <c r="B8" s="3" t="s">
        <v>40</v>
      </c>
      <c r="C8" s="3" t="s">
        <v>52</v>
      </c>
      <c r="D8" s="3" t="s">
        <v>123</v>
      </c>
      <c r="E8" s="3" t="e">
        <f>+VLOOKUP(F8,[1]Kurtarılan_Sayfa1!$J:$J,1,0)</f>
        <v>#N/A</v>
      </c>
      <c r="F8" s="3" t="s">
        <v>124</v>
      </c>
      <c r="G8" s="3" t="s">
        <v>125</v>
      </c>
      <c r="H8" s="3" t="s">
        <v>119</v>
      </c>
      <c r="I8" s="3" t="s">
        <v>51</v>
      </c>
      <c r="J8" s="3">
        <v>5589.56</v>
      </c>
      <c r="K8" s="3" t="s">
        <v>42</v>
      </c>
      <c r="L8" s="3" t="s">
        <v>39</v>
      </c>
      <c r="M8" s="3" t="s">
        <v>43</v>
      </c>
      <c r="N8" s="3" t="s">
        <v>39</v>
      </c>
      <c r="O8" s="3" t="s">
        <v>44</v>
      </c>
      <c r="P8" s="3" t="s">
        <v>120</v>
      </c>
      <c r="Q8" s="3" t="s">
        <v>45</v>
      </c>
      <c r="R8" s="3" t="s">
        <v>97</v>
      </c>
      <c r="S8" s="3" t="s">
        <v>39</v>
      </c>
      <c r="T8" s="3" t="s">
        <v>98</v>
      </c>
      <c r="U8" s="3" t="s">
        <v>39</v>
      </c>
      <c r="V8" s="3" t="s">
        <v>39</v>
      </c>
      <c r="W8" s="3" t="s">
        <v>68</v>
      </c>
      <c r="X8" s="3" t="s">
        <v>126</v>
      </c>
      <c r="Y8" s="3" t="s">
        <v>39</v>
      </c>
      <c r="Z8" s="3" t="s">
        <v>67</v>
      </c>
      <c r="AA8" s="3" t="s">
        <v>48</v>
      </c>
      <c r="AB8" s="3" t="s">
        <v>122</v>
      </c>
      <c r="AC8" s="3" t="s">
        <v>121</v>
      </c>
      <c r="AD8" s="3" t="s">
        <v>39</v>
      </c>
      <c r="AE8" s="3" t="s">
        <v>39</v>
      </c>
      <c r="AF8" s="3" t="s">
        <v>39</v>
      </c>
      <c r="AG8" s="3" t="s">
        <v>39</v>
      </c>
      <c r="AH8" s="3" t="s">
        <v>49</v>
      </c>
      <c r="AI8" s="3" t="s">
        <v>127</v>
      </c>
      <c r="AJ8" s="3" t="s">
        <v>39</v>
      </c>
      <c r="AK8" s="3" t="s">
        <v>68</v>
      </c>
      <c r="AL8" s="3" t="s">
        <v>39</v>
      </c>
      <c r="AM8" s="3" t="s">
        <v>39</v>
      </c>
      <c r="AN8" s="3" t="s">
        <v>39</v>
      </c>
      <c r="AO8" s="3" t="s">
        <v>39</v>
      </c>
    </row>
    <row r="9" spans="1:41" s="3" customFormat="1" hidden="1" x14ac:dyDescent="0.35">
      <c r="A9" s="3" t="s">
        <v>39</v>
      </c>
      <c r="B9" s="3" t="s">
        <v>40</v>
      </c>
      <c r="C9" s="3" t="s">
        <v>52</v>
      </c>
      <c r="D9" s="3" t="s">
        <v>128</v>
      </c>
      <c r="E9" s="3" t="e">
        <f>+VLOOKUP(F9,[1]Kurtarılan_Sayfa1!$J:$J,1,0)</f>
        <v>#N/A</v>
      </c>
      <c r="F9" s="3" t="s">
        <v>129</v>
      </c>
      <c r="G9" s="3" t="s">
        <v>130</v>
      </c>
      <c r="H9" s="3" t="s">
        <v>106</v>
      </c>
      <c r="I9" s="3" t="s">
        <v>41</v>
      </c>
      <c r="J9" s="3">
        <v>128093.35</v>
      </c>
      <c r="K9" s="3" t="s">
        <v>42</v>
      </c>
      <c r="L9" s="3" t="s">
        <v>39</v>
      </c>
      <c r="M9" s="3" t="s">
        <v>43</v>
      </c>
      <c r="N9" s="3" t="s">
        <v>39</v>
      </c>
      <c r="O9" s="3" t="s">
        <v>44</v>
      </c>
      <c r="P9" s="3" t="s">
        <v>107</v>
      </c>
      <c r="Q9" s="3" t="s">
        <v>45</v>
      </c>
      <c r="R9" s="3" t="s">
        <v>76</v>
      </c>
      <c r="S9" s="3" t="s">
        <v>39</v>
      </c>
      <c r="T9" s="3" t="s">
        <v>77</v>
      </c>
      <c r="U9" s="3" t="s">
        <v>39</v>
      </c>
      <c r="V9" s="3" t="s">
        <v>39</v>
      </c>
      <c r="W9" s="3" t="s">
        <v>66</v>
      </c>
      <c r="X9" s="3" t="s">
        <v>131</v>
      </c>
      <c r="Y9" s="3" t="s">
        <v>39</v>
      </c>
      <c r="Z9" s="3" t="s">
        <v>47</v>
      </c>
      <c r="AA9" s="3" t="s">
        <v>48</v>
      </c>
      <c r="AB9" s="3" t="s">
        <v>108</v>
      </c>
      <c r="AC9" s="3" t="s">
        <v>109</v>
      </c>
      <c r="AD9" s="3" t="s">
        <v>39</v>
      </c>
      <c r="AE9" s="3" t="s">
        <v>39</v>
      </c>
      <c r="AF9" s="3" t="s">
        <v>39</v>
      </c>
      <c r="AG9" s="3" t="s">
        <v>39</v>
      </c>
      <c r="AH9" s="3" t="s">
        <v>49</v>
      </c>
      <c r="AI9" s="3" t="s">
        <v>132</v>
      </c>
      <c r="AJ9" s="3" t="s">
        <v>39</v>
      </c>
      <c r="AK9" s="3" t="s">
        <v>66</v>
      </c>
      <c r="AL9" s="3" t="s">
        <v>39</v>
      </c>
      <c r="AM9" s="3" t="s">
        <v>39</v>
      </c>
      <c r="AN9" s="3" t="s">
        <v>39</v>
      </c>
      <c r="AO9" s="3" t="s">
        <v>39</v>
      </c>
    </row>
    <row r="10" spans="1:41" s="3" customFormat="1" hidden="1" x14ac:dyDescent="0.35">
      <c r="A10" s="3" t="s">
        <v>39</v>
      </c>
      <c r="B10" s="3" t="s">
        <v>40</v>
      </c>
      <c r="C10" s="3" t="s">
        <v>52</v>
      </c>
      <c r="D10" s="3" t="s">
        <v>137</v>
      </c>
      <c r="E10" s="3" t="e">
        <f>+VLOOKUP(F10,[1]Kurtarılan_Sayfa1!$J:$J,1,0)</f>
        <v>#N/A</v>
      </c>
      <c r="F10" s="3" t="s">
        <v>138</v>
      </c>
      <c r="G10" s="3" t="s">
        <v>139</v>
      </c>
      <c r="H10" s="3" t="s">
        <v>133</v>
      </c>
      <c r="I10" s="3" t="s">
        <v>51</v>
      </c>
      <c r="J10" s="3">
        <v>14899.01</v>
      </c>
      <c r="K10" s="3" t="s">
        <v>42</v>
      </c>
      <c r="L10" s="3" t="s">
        <v>39</v>
      </c>
      <c r="M10" s="3" t="s">
        <v>43</v>
      </c>
      <c r="N10" s="3" t="s">
        <v>39</v>
      </c>
      <c r="O10" s="3" t="s">
        <v>44</v>
      </c>
      <c r="P10" s="3" t="s">
        <v>134</v>
      </c>
      <c r="Q10" s="3" t="s">
        <v>45</v>
      </c>
      <c r="R10" s="3" t="s">
        <v>76</v>
      </c>
      <c r="S10" s="3" t="s">
        <v>39</v>
      </c>
      <c r="T10" s="3" t="s">
        <v>77</v>
      </c>
      <c r="U10" s="3" t="s">
        <v>39</v>
      </c>
      <c r="V10" s="3" t="s">
        <v>39</v>
      </c>
      <c r="W10" s="3" t="s">
        <v>65</v>
      </c>
      <c r="X10" s="3" t="s">
        <v>140</v>
      </c>
      <c r="Y10" s="3" t="s">
        <v>39</v>
      </c>
      <c r="Z10" s="3" t="s">
        <v>67</v>
      </c>
      <c r="AA10" s="3" t="s">
        <v>48</v>
      </c>
      <c r="AB10" s="3" t="s">
        <v>135</v>
      </c>
      <c r="AC10" s="3" t="s">
        <v>136</v>
      </c>
      <c r="AD10" s="3" t="s">
        <v>39</v>
      </c>
      <c r="AE10" s="3" t="s">
        <v>39</v>
      </c>
      <c r="AF10" s="3" t="s">
        <v>39</v>
      </c>
      <c r="AG10" s="3" t="s">
        <v>39</v>
      </c>
      <c r="AH10" s="3" t="s">
        <v>49</v>
      </c>
      <c r="AI10" s="3" t="s">
        <v>141</v>
      </c>
      <c r="AJ10" s="3" t="s">
        <v>39</v>
      </c>
      <c r="AK10" s="3" t="s">
        <v>65</v>
      </c>
      <c r="AL10" s="3" t="s">
        <v>39</v>
      </c>
      <c r="AM10" s="3" t="s">
        <v>39</v>
      </c>
      <c r="AN10" s="3" t="s">
        <v>39</v>
      </c>
      <c r="AO10" s="3" t="s">
        <v>39</v>
      </c>
    </row>
    <row r="11" spans="1:41" s="3" customFormat="1" hidden="1" x14ac:dyDescent="0.35">
      <c r="A11" s="3" t="s">
        <v>39</v>
      </c>
      <c r="B11" s="3" t="s">
        <v>40</v>
      </c>
      <c r="C11" s="3" t="s">
        <v>52</v>
      </c>
      <c r="D11" s="3" t="s">
        <v>142</v>
      </c>
      <c r="E11" s="3" t="e">
        <f>+VLOOKUP(F11,[1]Kurtarılan_Sayfa1!$J:$J,1,0)</f>
        <v>#N/A</v>
      </c>
      <c r="F11" s="3" t="s">
        <v>143</v>
      </c>
      <c r="G11" s="3" t="s">
        <v>144</v>
      </c>
      <c r="H11" s="3" t="s">
        <v>106</v>
      </c>
      <c r="I11" s="3" t="s">
        <v>41</v>
      </c>
      <c r="J11" s="3">
        <v>128092364.63</v>
      </c>
      <c r="K11" s="3" t="s">
        <v>42</v>
      </c>
      <c r="L11" s="3" t="s">
        <v>39</v>
      </c>
      <c r="M11" s="3" t="s">
        <v>43</v>
      </c>
      <c r="N11" s="3" t="s">
        <v>39</v>
      </c>
      <c r="O11" s="3" t="s">
        <v>44</v>
      </c>
      <c r="P11" s="3" t="s">
        <v>107</v>
      </c>
      <c r="Q11" s="3" t="s">
        <v>45</v>
      </c>
      <c r="R11" s="3" t="s">
        <v>145</v>
      </c>
      <c r="S11" s="3" t="s">
        <v>39</v>
      </c>
      <c r="T11" s="3" t="s">
        <v>146</v>
      </c>
      <c r="U11" s="3" t="s">
        <v>39</v>
      </c>
      <c r="V11" s="3" t="s">
        <v>39</v>
      </c>
      <c r="W11" s="3" t="s">
        <v>66</v>
      </c>
      <c r="X11" s="3" t="s">
        <v>147</v>
      </c>
      <c r="Y11" s="3" t="s">
        <v>39</v>
      </c>
      <c r="Z11" s="3" t="s">
        <v>47</v>
      </c>
      <c r="AA11" s="3" t="s">
        <v>48</v>
      </c>
      <c r="AB11" s="3" t="s">
        <v>108</v>
      </c>
      <c r="AC11" s="3" t="s">
        <v>109</v>
      </c>
      <c r="AD11" s="3" t="s">
        <v>39</v>
      </c>
      <c r="AE11" s="3" t="s">
        <v>39</v>
      </c>
      <c r="AF11" s="3" t="s">
        <v>39</v>
      </c>
      <c r="AG11" s="3" t="s">
        <v>39</v>
      </c>
      <c r="AH11" s="3" t="s">
        <v>49</v>
      </c>
      <c r="AI11" s="3" t="s">
        <v>148</v>
      </c>
      <c r="AJ11" s="3" t="s">
        <v>39</v>
      </c>
      <c r="AK11" s="3" t="s">
        <v>66</v>
      </c>
      <c r="AL11" s="3" t="s">
        <v>39</v>
      </c>
      <c r="AM11" s="3" t="s">
        <v>39</v>
      </c>
      <c r="AN11" s="3" t="s">
        <v>39</v>
      </c>
      <c r="AO11" s="3" t="s">
        <v>39</v>
      </c>
    </row>
    <row r="12" spans="1:41" s="3" customFormat="1" hidden="1" x14ac:dyDescent="0.35">
      <c r="A12" s="3" t="s">
        <v>39</v>
      </c>
      <c r="B12" s="3" t="s">
        <v>40</v>
      </c>
      <c r="C12" s="3" t="s">
        <v>52</v>
      </c>
      <c r="D12" s="3" t="s">
        <v>153</v>
      </c>
      <c r="E12" s="3" t="e">
        <f>+VLOOKUP(F12,[1]Kurtarılan_Sayfa1!$J:$J,1,0)</f>
        <v>#N/A</v>
      </c>
      <c r="F12" s="3" t="s">
        <v>154</v>
      </c>
      <c r="G12" s="3" t="s">
        <v>155</v>
      </c>
      <c r="H12" s="3" t="s">
        <v>149</v>
      </c>
      <c r="I12" s="3" t="s">
        <v>41</v>
      </c>
      <c r="J12" s="3">
        <v>171425.79</v>
      </c>
      <c r="K12" s="3" t="s">
        <v>42</v>
      </c>
      <c r="L12" s="3" t="s">
        <v>39</v>
      </c>
      <c r="M12" s="3" t="s">
        <v>43</v>
      </c>
      <c r="N12" s="3" t="s">
        <v>39</v>
      </c>
      <c r="O12" s="3" t="s">
        <v>44</v>
      </c>
      <c r="P12" s="3" t="s">
        <v>150</v>
      </c>
      <c r="Q12" s="3" t="s">
        <v>45</v>
      </c>
      <c r="R12" s="3" t="s">
        <v>58</v>
      </c>
      <c r="S12" s="3" t="s">
        <v>39</v>
      </c>
      <c r="T12" s="3" t="s">
        <v>59</v>
      </c>
      <c r="U12" s="3" t="s">
        <v>39</v>
      </c>
      <c r="V12" s="3" t="s">
        <v>39</v>
      </c>
      <c r="W12" s="3" t="s">
        <v>46</v>
      </c>
      <c r="X12" s="3" t="s">
        <v>156</v>
      </c>
      <c r="Y12" s="3" t="s">
        <v>39</v>
      </c>
      <c r="Z12" s="3" t="s">
        <v>47</v>
      </c>
      <c r="AA12" s="3" t="s">
        <v>48</v>
      </c>
      <c r="AB12" s="3" t="s">
        <v>151</v>
      </c>
      <c r="AC12" s="3" t="s">
        <v>152</v>
      </c>
      <c r="AD12" s="3" t="s">
        <v>39</v>
      </c>
      <c r="AE12" s="3" t="s">
        <v>39</v>
      </c>
      <c r="AF12" s="3" t="s">
        <v>39</v>
      </c>
      <c r="AG12" s="3" t="s">
        <v>39</v>
      </c>
      <c r="AH12" s="3" t="s">
        <v>49</v>
      </c>
      <c r="AI12" s="3" t="s">
        <v>157</v>
      </c>
      <c r="AJ12" s="3" t="s">
        <v>39</v>
      </c>
      <c r="AK12" s="3" t="s">
        <v>46</v>
      </c>
      <c r="AL12" s="3" t="s">
        <v>39</v>
      </c>
      <c r="AM12" s="3" t="s">
        <v>39</v>
      </c>
      <c r="AN12" s="3" t="s">
        <v>39</v>
      </c>
      <c r="AO12" s="3" t="s">
        <v>39</v>
      </c>
    </row>
  </sheetData>
  <autoFilter ref="A1:AO12" xr:uid="{70AEBC13-F28B-46DE-A2D4-294EB9CAC739}">
    <filterColumn colId="2">
      <filters>
        <filter val="Başarılı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Halkbank Sanal 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 AKDEMİR</dc:creator>
  <cp:lastModifiedBy>Koray ZORLU</cp:lastModifiedBy>
  <dcterms:created xsi:type="dcterms:W3CDTF">2026-01-20T12:48:15Z</dcterms:created>
  <dcterms:modified xsi:type="dcterms:W3CDTF">2026-01-22T11:32:31Z</dcterms:modified>
</cp:coreProperties>
</file>